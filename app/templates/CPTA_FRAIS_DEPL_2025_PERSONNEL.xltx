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ur\Secretariat\MODELES\financier - achat - comptabilité - caisses\Frais déplacement 2025-2026 (juillet 2025 à juin 2026)\"/>
    </mc:Choice>
  </mc:AlternateContent>
  <xr:revisionPtr revIDLastSave="0" documentId="13_ncr:1_{E9D8EB0C-F78D-4087-A964-24564F5F61A1}" xr6:coauthVersionLast="47" xr6:coauthVersionMax="47" xr10:uidLastSave="{00000000-0000-0000-0000-000000000000}"/>
  <bookViews>
    <workbookView xWindow="-120" yWindow="-120" windowWidth="29040" windowHeight="15840" tabRatio="973" xr2:uid="{00000000-000D-0000-FFFF-FFFF00000000}"/>
  </bookViews>
  <sheets>
    <sheet name="EAM" sheetId="33" r:id="rId1"/>
    <sheet name="EAM (2)" sheetId="41" r:id="rId2"/>
    <sheet name="EP" sheetId="30" r:id="rId3"/>
    <sheet name="EP (2)" sheetId="42" r:id="rId4"/>
    <sheet name="FLJ" sheetId="52" r:id="rId5"/>
    <sheet name="FLJ (2)" sheetId="53" r:id="rId6"/>
    <sheet name="MAC-Lux" sheetId="43" r:id="rId7"/>
    <sheet name="MAC-Lux 2" sheetId="45" r:id="rId8"/>
    <sheet name="MAC-Lux 3" sheetId="48" r:id="rId9"/>
    <sheet name="Drugs'Care - agrément" sheetId="39" r:id="rId10"/>
    <sheet name="Drugs'Care - agrément (2)" sheetId="46" r:id="rId11"/>
    <sheet name="Drugs'Care - agrément (3)" sheetId="50" r:id="rId12"/>
    <sheet name="VIELSALM" sheetId="51" r:id="rId13"/>
    <sheet name="BDN Prison Arlon" sheetId="36" r:id="rId14"/>
    <sheet name="BDN Prison St-Hubert" sheetId="35" r:id="rId15"/>
    <sheet name="BDN Rue (remb. par MV)" sheetId="44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9" i="52" l="1"/>
  <c r="F40" i="52" s="1"/>
  <c r="F39" i="53" l="1"/>
  <c r="F40" i="53" s="1"/>
  <c r="F39" i="51"/>
  <c r="F40" i="51" s="1"/>
  <c r="F39" i="44" l="1"/>
  <c r="F40" i="44" s="1"/>
  <c r="F39" i="43"/>
  <c r="F39" i="33"/>
  <c r="F39" i="41" s="1"/>
  <c r="F40" i="41" s="1"/>
  <c r="F39" i="39"/>
  <c r="F40" i="39" s="1"/>
  <c r="F39" i="36"/>
  <c r="F40" i="36" s="1"/>
  <c r="F39" i="35"/>
  <c r="F40" i="35" s="1"/>
  <c r="F39" i="30"/>
  <c r="F39" i="42" s="1"/>
  <c r="F40" i="42" s="1"/>
  <c r="F40" i="33" l="1"/>
  <c r="F39" i="46"/>
  <c r="F39" i="50" s="1"/>
  <c r="F40" i="50" s="1"/>
  <c r="F40" i="30"/>
  <c r="F39" i="45"/>
  <c r="F40" i="43"/>
  <c r="F40" i="46" l="1"/>
  <c r="F40" i="45"/>
  <c r="F39" i="48"/>
  <c r="F40" i="48" s="1"/>
</calcChain>
</file>

<file path=xl/sharedStrings.xml><?xml version="1.0" encoding="utf-8"?>
<sst xmlns="http://schemas.openxmlformats.org/spreadsheetml/2006/main" count="880" uniqueCount="42">
  <si>
    <t>date</t>
  </si>
  <si>
    <t>aller</t>
  </si>
  <si>
    <t>retour</t>
  </si>
  <si>
    <t>départ</t>
  </si>
  <si>
    <t>lieu</t>
  </si>
  <si>
    <t>heure</t>
  </si>
  <si>
    <t>motif du déplacement:</t>
  </si>
  <si>
    <t>Prénom NOM</t>
  </si>
  <si>
    <t>mois / an:</t>
  </si>
  <si>
    <t>siège d'exploitation:</t>
  </si>
  <si>
    <t>fonction:</t>
  </si>
  <si>
    <t>véhicule :</t>
  </si>
  <si>
    <t>n° minéral.:</t>
  </si>
  <si>
    <t>Demande de remboursement de frais de déplacement avec son véhicule en mission</t>
  </si>
  <si>
    <t>signature du/de la délégué(e):</t>
  </si>
  <si>
    <t>délégué(e) de l'employeur:</t>
  </si>
  <si>
    <t>arrivée</t>
  </si>
  <si>
    <t>Nombre total de kilomètres (A)</t>
  </si>
  <si>
    <t>n° compte:</t>
  </si>
  <si>
    <t xml:space="preserve">Montant à rembourser (= A x Tf) </t>
  </si>
  <si>
    <r>
      <t>n</t>
    </r>
    <r>
      <rPr>
        <b/>
        <vertAlign val="superscript"/>
        <sz val="9"/>
        <rFont val="Verdana"/>
        <family val="2"/>
      </rPr>
      <t>bre</t>
    </r>
    <r>
      <rPr>
        <b/>
        <sz val="9"/>
        <rFont val="Verdana"/>
        <family val="2"/>
      </rPr>
      <t xml:space="preserve"> km</t>
    </r>
  </si>
  <si>
    <t>date relevé:</t>
  </si>
  <si>
    <t xml:space="preserve">Adresse: </t>
  </si>
  <si>
    <r>
      <t>tarif (Tf) €/km</t>
    </r>
    <r>
      <rPr>
        <vertAlign val="superscript"/>
        <sz val="8.5"/>
        <rFont val="Verdana"/>
        <family val="2"/>
      </rPr>
      <t>1</t>
    </r>
  </si>
  <si>
    <t xml:space="preserve">motif du déplacement: </t>
  </si>
  <si>
    <t>EAM 2</t>
  </si>
  <si>
    <t>EAM 1</t>
  </si>
  <si>
    <t>EP 1</t>
  </si>
  <si>
    <t>EP 2</t>
  </si>
  <si>
    <t>BDN  PRISON  ARLON</t>
  </si>
  <si>
    <t>BDN  PRISON  ST-HUBERT</t>
  </si>
  <si>
    <t>BDN RUE</t>
  </si>
  <si>
    <t>DRUGS'CARE 1</t>
  </si>
  <si>
    <t>DRUGS'CARE 2</t>
  </si>
  <si>
    <t>Responsable éventuel</t>
  </si>
  <si>
    <t>DRUGS'CARE 3</t>
  </si>
  <si>
    <t>MAC-Lux 1</t>
  </si>
  <si>
    <t>MAC-Lux 2</t>
  </si>
  <si>
    <t>MAC-Lux 3</t>
  </si>
  <si>
    <t>VIELSALM</t>
  </si>
  <si>
    <t>FLJ 1</t>
  </si>
  <si>
    <t>FLJ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</si>
</sst>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&quot;€&quot;_-;\-* #,##0.00\ &quot;€&quot;_-;_-* &quot;-&quot;??\ &quot;€&quot;_-;_-@_-"/>
    <numFmt numFmtId="165" formatCode="0.0000"/>
    <numFmt numFmtId="166" formatCode="dd/mm"/>
    <numFmt numFmtId="167" formatCode="mmmm\ yyyy"/>
  </numFmts>
  <fonts count="15" x14ac:knownFonts="1">
    <font>
      <sz val="10"/>
      <name val="Arial"/>
    </font>
    <font>
      <sz val="8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b/>
      <sz val="9"/>
      <name val="Verdana"/>
      <family val="2"/>
    </font>
    <font>
      <sz val="9"/>
      <name val="Verdana"/>
      <family val="2"/>
    </font>
    <font>
      <b/>
      <vertAlign val="superscript"/>
      <sz val="9"/>
      <name val="Verdana"/>
      <family val="2"/>
    </font>
    <font>
      <sz val="8.5"/>
      <name val="Verdana"/>
      <family val="2"/>
    </font>
    <font>
      <vertAlign val="superscript"/>
      <sz val="8.5"/>
      <name val="Verdana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Verdana"/>
      <family val="2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2" fillId="0" borderId="0"/>
  </cellStyleXfs>
  <cellXfs count="7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3" fillId="0" borderId="0" xfId="0" applyFont="1"/>
    <xf numFmtId="0" fontId="8" fillId="0" borderId="0" xfId="0" applyFont="1" applyAlignment="1" applyProtection="1">
      <alignment vertical="center"/>
      <protection locked="0"/>
    </xf>
    <xf numFmtId="0" fontId="10" fillId="0" borderId="1" xfId="0" applyFont="1" applyBorder="1" applyAlignment="1" applyProtection="1">
      <alignment vertical="center"/>
      <protection locked="0"/>
    </xf>
    <xf numFmtId="0" fontId="10" fillId="0" borderId="2" xfId="0" applyFont="1" applyBorder="1" applyAlignment="1" applyProtection="1">
      <alignment horizontal="left" vertical="center"/>
      <protection locked="0"/>
    </xf>
    <xf numFmtId="167" fontId="10" fillId="0" borderId="2" xfId="0" applyNumberFormat="1" applyFont="1" applyBorder="1" applyAlignment="1" applyProtection="1">
      <alignment horizontal="right" vertical="center"/>
      <protection locked="0"/>
    </xf>
    <xf numFmtId="0" fontId="10" fillId="0" borderId="3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Alignment="1" applyProtection="1">
      <alignment vertical="center"/>
      <protection locked="0"/>
    </xf>
    <xf numFmtId="0" fontId="10" fillId="0" borderId="4" xfId="0" applyFont="1" applyBorder="1" applyAlignment="1" applyProtection="1">
      <alignment horizontal="left" vertical="center"/>
      <protection locked="0"/>
    </xf>
    <xf numFmtId="0" fontId="10" fillId="0" borderId="5" xfId="0" applyFont="1" applyBorder="1" applyAlignment="1" applyProtection="1">
      <alignment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0" fontId="10" fillId="0" borderId="7" xfId="0" applyFont="1" applyBorder="1" applyAlignment="1" applyProtection="1">
      <alignment vertical="center"/>
      <protection locked="0"/>
    </xf>
    <xf numFmtId="166" fontId="8" fillId="0" borderId="8" xfId="0" applyNumberFormat="1" applyFont="1" applyBorder="1" applyAlignment="1" applyProtection="1">
      <alignment vertical="center"/>
      <protection locked="0"/>
    </xf>
    <xf numFmtId="0" fontId="8" fillId="0" borderId="8" xfId="0" applyFont="1" applyBorder="1" applyAlignment="1" applyProtection="1">
      <alignment horizontal="left" vertical="center"/>
      <protection locked="0"/>
    </xf>
    <xf numFmtId="0" fontId="8" fillId="0" borderId="8" xfId="0" applyFont="1" applyBorder="1" applyAlignment="1" applyProtection="1">
      <alignment vertical="center"/>
      <protection locked="0"/>
    </xf>
    <xf numFmtId="0" fontId="8" fillId="0" borderId="9" xfId="0" applyFont="1" applyBorder="1" applyAlignment="1" applyProtection="1">
      <alignment horizontal="right" vertical="center"/>
      <protection locked="0"/>
    </xf>
    <xf numFmtId="166" fontId="8" fillId="0" borderId="10" xfId="0" applyNumberFormat="1" applyFont="1" applyBorder="1" applyAlignment="1" applyProtection="1">
      <alignment vertical="center"/>
      <protection locked="0"/>
    </xf>
    <xf numFmtId="0" fontId="8" fillId="0" borderId="10" xfId="0" applyFont="1" applyBorder="1" applyAlignment="1" applyProtection="1">
      <alignment horizontal="left" vertical="center"/>
      <protection locked="0"/>
    </xf>
    <xf numFmtId="0" fontId="8" fillId="0" borderId="10" xfId="0" applyFont="1" applyBorder="1" applyAlignment="1" applyProtection="1">
      <alignment horizontal="center" vertical="center"/>
      <protection locked="0"/>
    </xf>
    <xf numFmtId="0" fontId="8" fillId="0" borderId="10" xfId="0" applyFont="1" applyBorder="1" applyAlignment="1" applyProtection="1">
      <alignment vertical="center"/>
      <protection locked="0"/>
    </xf>
    <xf numFmtId="0" fontId="8" fillId="0" borderId="11" xfId="0" applyFont="1" applyBorder="1" applyAlignment="1" applyProtection="1">
      <alignment horizontal="right"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10" fillId="0" borderId="12" xfId="0" applyFont="1" applyBorder="1" applyAlignment="1">
      <alignment vertical="center"/>
    </xf>
    <xf numFmtId="0" fontId="10" fillId="0" borderId="13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10" fillId="0" borderId="2" xfId="0" applyFont="1" applyBorder="1" applyAlignment="1">
      <alignment horizontal="right" vertical="center"/>
    </xf>
    <xf numFmtId="0" fontId="10" fillId="0" borderId="15" xfId="0" applyFont="1" applyBorder="1" applyAlignment="1">
      <alignment horizontal="right" vertical="center"/>
    </xf>
    <xf numFmtId="0" fontId="10" fillId="0" borderId="16" xfId="0" applyFont="1" applyBorder="1" applyAlignment="1">
      <alignment horizontal="right" vertical="center"/>
    </xf>
    <xf numFmtId="165" fontId="10" fillId="0" borderId="17" xfId="0" applyNumberFormat="1" applyFont="1" applyBorder="1" applyAlignment="1">
      <alignment horizontal="right" vertical="center"/>
    </xf>
    <xf numFmtId="0" fontId="7" fillId="0" borderId="18" xfId="0" applyFont="1" applyBorder="1" applyAlignment="1">
      <alignment horizontal="center" vertical="center"/>
    </xf>
    <xf numFmtId="0" fontId="7" fillId="0" borderId="18" xfId="0" applyFont="1" applyBorder="1" applyAlignment="1">
      <alignment horizontal="centerContinuous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right" vertical="center"/>
    </xf>
    <xf numFmtId="0" fontId="8" fillId="0" borderId="20" xfId="0" applyFont="1" applyBorder="1" applyAlignment="1">
      <alignment horizontal="right" vertical="center"/>
    </xf>
    <xf numFmtId="0" fontId="7" fillId="0" borderId="21" xfId="0" applyFont="1" applyBorder="1" applyAlignment="1">
      <alignment vertical="center"/>
    </xf>
    <xf numFmtId="0" fontId="7" fillId="0" borderId="22" xfId="0" applyFont="1" applyBorder="1" applyAlignment="1">
      <alignment vertical="center"/>
    </xf>
    <xf numFmtId="0" fontId="8" fillId="0" borderId="8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Alignment="1" applyProtection="1">
      <alignment horizontal="left" vertical="center" wrapText="1"/>
      <protection locked="0"/>
    </xf>
    <xf numFmtId="0" fontId="7" fillId="0" borderId="28" xfId="0" applyFont="1" applyBorder="1" applyAlignment="1">
      <alignment vertical="center" wrapText="1"/>
    </xf>
    <xf numFmtId="0" fontId="7" fillId="0" borderId="21" xfId="0" applyFont="1" applyBorder="1" applyAlignment="1">
      <alignment horizontal="center" vertical="center" wrapText="1"/>
    </xf>
    <xf numFmtId="0" fontId="7" fillId="0" borderId="23" xfId="0" applyFont="1" applyBorder="1" applyAlignment="1" applyProtection="1">
      <alignment horizontal="center" vertical="center"/>
      <protection locked="0"/>
    </xf>
    <xf numFmtId="0" fontId="7" fillId="0" borderId="24" xfId="0" applyFont="1" applyBorder="1" applyAlignment="1" applyProtection="1">
      <alignment horizontal="center" vertical="center"/>
      <protection locked="0"/>
    </xf>
    <xf numFmtId="0" fontId="7" fillId="0" borderId="25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left" vertical="center" wrapText="1"/>
      <protection locked="0"/>
    </xf>
    <xf numFmtId="0" fontId="10" fillId="0" borderId="27" xfId="0" applyFont="1" applyBorder="1" applyAlignment="1" applyProtection="1">
      <alignment horizontal="left" vertical="center" wrapText="1"/>
      <protection locked="0"/>
    </xf>
    <xf numFmtId="0" fontId="8" fillId="0" borderId="21" xfId="0" applyFont="1" applyBorder="1" applyAlignment="1" applyProtection="1">
      <alignment horizontal="left" vertical="center"/>
      <protection locked="0"/>
    </xf>
    <xf numFmtId="0" fontId="8" fillId="0" borderId="22" xfId="0" applyFont="1" applyBorder="1" applyAlignment="1" applyProtection="1">
      <alignment horizontal="left" vertical="center"/>
      <protection locked="0"/>
    </xf>
    <xf numFmtId="0" fontId="8" fillId="0" borderId="28" xfId="0" applyFont="1" applyBorder="1" applyAlignment="1" applyProtection="1">
      <alignment horizontal="left" vertical="center"/>
      <protection locked="0"/>
    </xf>
    <xf numFmtId="0" fontId="14" fillId="0" borderId="29" xfId="0" applyFont="1" applyBorder="1" applyAlignment="1" applyProtection="1">
      <alignment horizontal="center" vertical="center"/>
      <protection locked="0"/>
    </xf>
    <xf numFmtId="4" fontId="7" fillId="0" borderId="18" xfId="0" applyNumberFormat="1" applyFont="1" applyBorder="1" applyAlignment="1">
      <alignment horizontal="right" vertical="center"/>
    </xf>
    <xf numFmtId="164" fontId="7" fillId="0" borderId="18" xfId="0" applyNumberFormat="1" applyFont="1" applyBorder="1" applyAlignment="1">
      <alignment horizontal="right" vertical="center"/>
    </xf>
    <xf numFmtId="14" fontId="8" fillId="0" borderId="30" xfId="0" applyNumberFormat="1" applyFont="1" applyBorder="1" applyAlignment="1" applyProtection="1">
      <alignment horizontal="center" vertical="center"/>
      <protection locked="0"/>
    </xf>
    <xf numFmtId="0" fontId="8" fillId="0" borderId="31" xfId="0" applyFont="1" applyBorder="1" applyAlignment="1" applyProtection="1">
      <alignment horizontal="center" vertical="center"/>
      <protection locked="0"/>
    </xf>
    <xf numFmtId="0" fontId="8" fillId="0" borderId="32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8" xfId="0" applyFont="1" applyBorder="1" applyAlignment="1" applyProtection="1">
      <alignment horizontal="left" vertical="center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83"/>
  <sheetViews>
    <sheetView tabSelected="1" zoomScaleNormal="100"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4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26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24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24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52" t="s">
        <v>24</v>
      </c>
      <c r="B15" s="53"/>
      <c r="C15" s="53"/>
      <c r="D15" s="53"/>
      <c r="E15" s="53"/>
      <c r="F15" s="53"/>
      <c r="G15" s="54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52" t="s">
        <v>24</v>
      </c>
      <c r="B18" s="53"/>
      <c r="C18" s="53"/>
      <c r="D18" s="53"/>
      <c r="E18" s="53"/>
      <c r="F18" s="53"/>
      <c r="G18" s="54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52" t="s">
        <v>24</v>
      </c>
      <c r="B21" s="53"/>
      <c r="C21" s="53"/>
      <c r="D21" s="53"/>
      <c r="E21" s="53"/>
      <c r="F21" s="53"/>
      <c r="G21" s="54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52" t="s">
        <v>24</v>
      </c>
      <c r="B24" s="53"/>
      <c r="C24" s="53"/>
      <c r="D24" s="53"/>
      <c r="E24" s="53"/>
      <c r="F24" s="53"/>
      <c r="G24" s="54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52" t="s">
        <v>24</v>
      </c>
      <c r="B27" s="53"/>
      <c r="C27" s="53"/>
      <c r="D27" s="53"/>
      <c r="E27" s="53"/>
      <c r="F27" s="53"/>
      <c r="G27" s="54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52" t="s">
        <v>24</v>
      </c>
      <c r="B30" s="53"/>
      <c r="C30" s="53"/>
      <c r="D30" s="53"/>
      <c r="E30" s="53"/>
      <c r="F30" s="53"/>
      <c r="G30" s="54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52" t="s">
        <v>24</v>
      </c>
      <c r="B33" s="53"/>
      <c r="C33" s="53"/>
      <c r="D33" s="53"/>
      <c r="E33" s="53"/>
      <c r="F33" s="53"/>
      <c r="G33" s="54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24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EAM!G38+EAM!G37+EAM!G35+EAM!G34+EAM!G32+EAM!G31+EAM!G29+EAM!G28+EAM!G26+EAM!G25+EAM!G23+EAM!G22+EAM!G20+EAM!G19+EAM!G17+EAM!G16+EAM!G14+EAM!G11+EAM!G10+G13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22.5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NTq3wCZZ+HUISFWyoLOAJISSQfRE0WYk+qomQZWMgFuLmQQFNtUf89EdReZ7NzoovpY/w6GbbLh7JYtD3xyUBg==" saltValue="yyP/TbJ0rqriK3oA8PNmYw==" spinCount="100000" sheet="1" objects="1" scenarios="1"/>
  <mergeCells count="20">
    <mergeCell ref="F40:G40"/>
    <mergeCell ref="A43:B44"/>
    <mergeCell ref="C43:D44"/>
    <mergeCell ref="F42:G42"/>
    <mergeCell ref="E43:E44"/>
    <mergeCell ref="F43:G44"/>
    <mergeCell ref="A36:G36"/>
    <mergeCell ref="A6:G6"/>
    <mergeCell ref="F39:G39"/>
    <mergeCell ref="A15:G15"/>
    <mergeCell ref="A18:G18"/>
    <mergeCell ref="A21:G21"/>
    <mergeCell ref="A24:G24"/>
    <mergeCell ref="A27:G27"/>
    <mergeCell ref="A30:G30"/>
    <mergeCell ref="A1:G1"/>
    <mergeCell ref="B5:C5"/>
    <mergeCell ref="A9:G9"/>
    <mergeCell ref="A12:G12"/>
    <mergeCell ref="A33:G33"/>
  </mergeCells>
  <phoneticPr fontId="13" type="noConversion"/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25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6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6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6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6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6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6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+EAM!F39+'EAM (2)'!G10+'EAM (2)'!G11+'EAM (2)'!G13+'EAM (2)'!G14+'EAM (2)'!G16+'EAM (2)'!G17+'EAM (2)'!G19+'EAM (2)'!G20+'EAM (2)'!G22+'EAM (2)'!G23+'EAM (2)'!G25+'EAM (2)'!G26+'EAM (2)'!G28+'EAM (2)'!G29+'EAM (2)'!G31+'EAM (2)'!G32+'EAM (2)'!G34+'EAM (2)'!G35+'EAM (2)'!G37+'EAM (2)'!G38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pCMgbYrLKccm0aPHnZj0NiB5DfKxjr5y6s7BLzllWNBnO2P+8RBYkFrma9iPbI/OU645m0JPL/tf8gN8UIxiTQ==" saltValue="Vr+u64XoAjvzKhYq7Iipvg==" spinCount="100000" sheet="1" objects="1" scenarios="1"/>
  <mergeCells count="20">
    <mergeCell ref="A36:G36"/>
    <mergeCell ref="A1:G1"/>
    <mergeCell ref="B5:C5"/>
    <mergeCell ref="A9:G9"/>
    <mergeCell ref="A12:G12"/>
    <mergeCell ref="A15:G15"/>
    <mergeCell ref="A18:G18"/>
    <mergeCell ref="A6:G6"/>
    <mergeCell ref="A21:G21"/>
    <mergeCell ref="A24:G24"/>
    <mergeCell ref="A27:G27"/>
    <mergeCell ref="A30:G30"/>
    <mergeCell ref="A33:G33"/>
    <mergeCell ref="F39:G39"/>
    <mergeCell ref="F40:G40"/>
    <mergeCell ref="A43:B44"/>
    <mergeCell ref="C43:D44"/>
    <mergeCell ref="F42:G42"/>
    <mergeCell ref="E43:E44"/>
    <mergeCell ref="F43:G44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83"/>
  <sheetViews>
    <sheetView workbookViewId="0">
      <selection activeCell="E16" sqref="E16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27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24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24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24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24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24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24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EP!G38+EP!G37+EP!G35+EP!G34+EP!G32+EP!G31+EP!G29+EP!G28+EP!G26+EP!G25+EP!G23+EP!G22+EP!G20+EP!G19+EP!G17+EP!G16+EP!G14+EP!G11+EP!G10+G13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hmzaNYLwIwyCzFwZt+yDpvyBZY9g4USdsSd2/5K6EvObREO+SVE/FmsKqV6U1unamCv+Wml3p/R+BwqwA+0PEA==" saltValue="nHh4m3YcqGo1l/8MV8Leew==" spinCount="100000" sheet="1" objects="1" scenarios="1"/>
  <mergeCells count="20">
    <mergeCell ref="F40:G40"/>
    <mergeCell ref="A43:B44"/>
    <mergeCell ref="C43:D44"/>
    <mergeCell ref="F42:G42"/>
    <mergeCell ref="E43:E44"/>
    <mergeCell ref="F43:G44"/>
    <mergeCell ref="A36:G36"/>
    <mergeCell ref="A6:G6"/>
    <mergeCell ref="F39:G39"/>
    <mergeCell ref="A15:G15"/>
    <mergeCell ref="A18:G18"/>
    <mergeCell ref="A21:G21"/>
    <mergeCell ref="A24:G24"/>
    <mergeCell ref="A27:G27"/>
    <mergeCell ref="A30:G30"/>
    <mergeCell ref="A1:G1"/>
    <mergeCell ref="B5:C5"/>
    <mergeCell ref="A9:G9"/>
    <mergeCell ref="A12:G12"/>
    <mergeCell ref="A33:G33"/>
  </mergeCells>
  <phoneticPr fontId="13" type="noConversion"/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28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6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24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24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24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24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24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+EP!F39+'EP (2)'!G38+'EP (2)'!G37+'EP (2)'!G35+'EP (2)'!G34+'EP (2)'!G32+'EP (2)'!G31+'EP (2)'!G29+'EP (2)'!G28+'EP (2)'!G26+'EP (2)'!G25+'EP (2)'!G23+'EP (2)'!G22+'EP (2)'!G20+'EP (2)'!G19+'EP (2)'!G17+'EP (2)'!G16+'EP (2)'!G14+'EP (2)'!G11+'EP (2)'!G10+G13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RSijNPUeQIPBtwdGr/5PY5vqhkBZ9PyN5P7vhwZRLqbsvWU2IYS4YdspdA6X3pb3wwVbHNv3zS/HmKpI10w9Uw==" saltValue="+AOXy8c4dFW2J/5RGQQpzw==" spinCount="100000" sheet="1" objects="1" scenarios="1"/>
  <mergeCells count="20">
    <mergeCell ref="A36:G36"/>
    <mergeCell ref="A1:G1"/>
    <mergeCell ref="B5:C5"/>
    <mergeCell ref="A9:G9"/>
    <mergeCell ref="A12:G12"/>
    <mergeCell ref="A15:G15"/>
    <mergeCell ref="A18:G18"/>
    <mergeCell ref="A6:G6"/>
    <mergeCell ref="A21:G21"/>
    <mergeCell ref="A24:G24"/>
    <mergeCell ref="A27:G27"/>
    <mergeCell ref="A30:G30"/>
    <mergeCell ref="A33:G33"/>
    <mergeCell ref="F39:G39"/>
    <mergeCell ref="F40:G40"/>
    <mergeCell ref="A43:B44"/>
    <mergeCell ref="C43:D44"/>
    <mergeCell ref="F42:G42"/>
    <mergeCell ref="E43:E44"/>
    <mergeCell ref="F43:G44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40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24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24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24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24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24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24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FLJ!G38+FLJ!G37+FLJ!G35+FLJ!G34+FLJ!G32+FLJ!G31+FLJ!G29+FLJ!G28+FLJ!G26+FLJ!G25+FLJ!G23+FLJ!G22+FLJ!G20+FLJ!G19+FLJ!G17+FLJ!G16+FLJ!G14+FLJ!G11+FLJ!G10+G13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7u+bzywpUPPPMByv7VZIqE5VZiIqhXM2bNMFkgQtrvux8yiVWz6FBVhSibFaYDKJvPplUjpX3HTfSBRiugluSw==" saltValue="ibeLquVy7iZoo9a6tj4Kkg==" spinCount="100000" sheet="1" objects="1" scenarios="1"/>
  <mergeCells count="20">
    <mergeCell ref="A33:G33"/>
    <mergeCell ref="A1:G1"/>
    <mergeCell ref="B5:C5"/>
    <mergeCell ref="A6:G6"/>
    <mergeCell ref="A9:G9"/>
    <mergeCell ref="A12:G12"/>
    <mergeCell ref="A15:G15"/>
    <mergeCell ref="A18:G18"/>
    <mergeCell ref="A21:G21"/>
    <mergeCell ref="A24:G24"/>
    <mergeCell ref="A27:G27"/>
    <mergeCell ref="A30:G30"/>
    <mergeCell ref="A36:G36"/>
    <mergeCell ref="F39:G39"/>
    <mergeCell ref="F40:G40"/>
    <mergeCell ref="F42:G42"/>
    <mergeCell ref="A43:B44"/>
    <mergeCell ref="C43:D44"/>
    <mergeCell ref="E43:E44"/>
    <mergeCell ref="F43:G44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41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24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24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24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24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24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24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'FLJ (2)'!G38+'FLJ (2)'!G37+'FLJ (2)'!G35+'FLJ (2)'!G34+'FLJ (2)'!G32+'FLJ (2)'!G31+'FLJ (2)'!G29+'FLJ (2)'!G28+'FLJ (2)'!G26+'FLJ (2)'!G25+'FLJ (2)'!G23+'FLJ (2)'!G22+'FLJ (2)'!G20+'FLJ (2)'!G19+'FLJ (2)'!G17+'FLJ (2)'!G16+'FLJ (2)'!G14+'FLJ (2)'!G11+'FLJ (2)'!G10+G13+FLJ!F39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IIz/V18ZGuYOUjctLJ/OqRhpJaWXFbkdf2BKqcJVqMuZ+1+60LtMsBXJYdFxlihvViSlR7PsFh6beQk16vv08g==" saltValue="CS2O0o3aWekEmOMgg35H5w==" spinCount="100000" sheet="1" objects="1" scenarios="1"/>
  <mergeCells count="20">
    <mergeCell ref="A33:G33"/>
    <mergeCell ref="A1:G1"/>
    <mergeCell ref="B5:C5"/>
    <mergeCell ref="A6:G6"/>
    <mergeCell ref="A9:G9"/>
    <mergeCell ref="A12:G12"/>
    <mergeCell ref="A15:G15"/>
    <mergeCell ref="A18:G18"/>
    <mergeCell ref="A21:G21"/>
    <mergeCell ref="A24:G24"/>
    <mergeCell ref="A27:G27"/>
    <mergeCell ref="A30:G30"/>
    <mergeCell ref="A36:G36"/>
    <mergeCell ref="F39:G39"/>
    <mergeCell ref="F40:G40"/>
    <mergeCell ref="F42:G42"/>
    <mergeCell ref="A43:B44"/>
    <mergeCell ref="C43:D44"/>
    <mergeCell ref="E43:E44"/>
    <mergeCell ref="F43:G44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36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24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24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24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24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24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24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'MAC-Lux'!G38+'MAC-Lux'!G37+'MAC-Lux'!G35+'MAC-Lux'!G34+'MAC-Lux'!G32+'MAC-Lux'!G31+'MAC-Lux'!G29+'MAC-Lux'!G28+'MAC-Lux'!G26+'MAC-Lux'!G25+'MAC-Lux'!G23+'MAC-Lux'!G22+'MAC-Lux'!G20+'MAC-Lux'!G19+'MAC-Lux'!G17+'MAC-Lux'!G16+'MAC-Lux'!G14+'MAC-Lux'!G11+'MAC-Lux'!G10+G13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hyyvLYbxN2W1WvAPXwxidCcOaE8UlenAMzSvD9A7Ews6j/wbUj3p4bDK1BotBR9Sy6IRBFtN+xsXctWuvID25A==" saltValue="x4+igUYtIFKWCUjq0waaFw==" spinCount="100000" sheet="1" objects="1" scenarios="1"/>
  <mergeCells count="20">
    <mergeCell ref="A43:B44"/>
    <mergeCell ref="C43:D44"/>
    <mergeCell ref="F42:G42"/>
    <mergeCell ref="E43:E44"/>
    <mergeCell ref="F43:G44"/>
    <mergeCell ref="A1:G1"/>
    <mergeCell ref="B5:C5"/>
    <mergeCell ref="A6:G6"/>
    <mergeCell ref="A9:G9"/>
    <mergeCell ref="A12:G12"/>
    <mergeCell ref="A15:G15"/>
    <mergeCell ref="A18:G18"/>
    <mergeCell ref="A21:G21"/>
    <mergeCell ref="A24:G24"/>
    <mergeCell ref="A27:G27"/>
    <mergeCell ref="A30:G30"/>
    <mergeCell ref="A33:G33"/>
    <mergeCell ref="A36:G36"/>
    <mergeCell ref="F39:G39"/>
    <mergeCell ref="F40:G40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37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24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24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24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24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24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24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+'MAC-Lux'!F39+'MAC-Lux 2'!G38+'MAC-Lux 2'!G37+'MAC-Lux 2'!G35+'MAC-Lux 2'!G34+'MAC-Lux 2'!G32+'MAC-Lux 2'!G31+'MAC-Lux 2'!G29+'MAC-Lux 2'!G28+'MAC-Lux 2'!G26+'MAC-Lux 2'!G25+'MAC-Lux 2'!G23+'MAC-Lux 2'!G22+'MAC-Lux 2'!G20+'MAC-Lux 2'!G19+'MAC-Lux 2'!G17+'MAC-Lux 2'!G16+'MAC-Lux 2'!G14+'MAC-Lux 2'!G11+'MAC-Lux 2'!G10+G13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oyv8GpiF/2DeapbfdmVHYM3RGDjLmiR0v/uKN4xjJ5kmQ6FJlUmhRH7WxBB+AxbFeDdAj5kubh3ZEDDKIv7O2A==" saltValue="DB+tKqOmM/o6Tj4UXIBS1g==" spinCount="100000" sheet="1" objects="1" scenarios="1"/>
  <mergeCells count="20">
    <mergeCell ref="A33:G33"/>
    <mergeCell ref="A1:G1"/>
    <mergeCell ref="B5:C5"/>
    <mergeCell ref="A6:G6"/>
    <mergeCell ref="A9:G9"/>
    <mergeCell ref="A12:G12"/>
    <mergeCell ref="A15:G15"/>
    <mergeCell ref="A18:G18"/>
    <mergeCell ref="A21:G21"/>
    <mergeCell ref="A24:G24"/>
    <mergeCell ref="A27:G27"/>
    <mergeCell ref="A30:G30"/>
    <mergeCell ref="F43:G44"/>
    <mergeCell ref="A36:G36"/>
    <mergeCell ref="F39:G39"/>
    <mergeCell ref="F40:G40"/>
    <mergeCell ref="A43:B44"/>
    <mergeCell ref="C43:D44"/>
    <mergeCell ref="F42:G42"/>
    <mergeCell ref="E43:E44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38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24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24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24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24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24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24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'MAC-Lux 3'!G38+'MAC-Lux 3'!G37+'MAC-Lux 3'!G35+'MAC-Lux 3'!G34+'MAC-Lux 3'!G32+'MAC-Lux 3'!G31+'MAC-Lux 3'!G29+'MAC-Lux 3'!G28+'MAC-Lux 3'!G26+'MAC-Lux 3'!G25+'MAC-Lux 3'!G23+'MAC-Lux 3'!G22+'MAC-Lux 3'!G20+'MAC-Lux 3'!G19+'MAC-Lux 3'!G17+'MAC-Lux 3'!G16+'MAC-Lux 3'!G14+'MAC-Lux 3'!G11+'MAC-Lux 3'!G10+G13+'MAC-Lux 2'!F39:G39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eZdtPGV/WvTn6PS3mP5Gahursj5DhwL0Wx3ei86CcdeJb8WE6mZ+xhf11J70rSI3rCZiJwHku8xuJ/zszMBdwA==" saltValue="RQSmWF6TLFUjzeYunoOa/A==" spinCount="100000" sheet="1" objects="1" scenarios="1"/>
  <mergeCells count="20">
    <mergeCell ref="A36:G36"/>
    <mergeCell ref="F39:G39"/>
    <mergeCell ref="F40:G40"/>
    <mergeCell ref="F42:G42"/>
    <mergeCell ref="A43:B44"/>
    <mergeCell ref="C43:D44"/>
    <mergeCell ref="E43:E44"/>
    <mergeCell ref="F43:G44"/>
    <mergeCell ref="A33:G33"/>
    <mergeCell ref="A1:G1"/>
    <mergeCell ref="B5:C5"/>
    <mergeCell ref="A6:G6"/>
    <mergeCell ref="A9:G9"/>
    <mergeCell ref="A12:G12"/>
    <mergeCell ref="A15:G15"/>
    <mergeCell ref="A18:G18"/>
    <mergeCell ref="A21:G21"/>
    <mergeCell ref="A24:G24"/>
    <mergeCell ref="A27:G27"/>
    <mergeCell ref="A30:G30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32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6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6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6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6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6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6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'Drugs''Care - agrément'!G38+'Drugs''Care - agrément'!G37+'Drugs''Care - agrément'!G35+'Drugs''Care - agrément'!G34+'Drugs''Care - agrément'!G32+'Drugs''Care - agrément'!G31+'Drugs''Care - agrément'!G29+'Drugs''Care - agrément'!G28+'Drugs''Care - agrément'!G26+'Drugs''Care - agrément'!G25+'Drugs''Care - agrément'!G23+'Drugs''Care - agrément'!G22+'Drugs''Care - agrément'!G20+'Drugs''Care - agrément'!G19+'Drugs''Care - agrément'!G17+'Drugs''Care - agrément'!G16+'Drugs''Care - agrément'!G14+'Drugs''Care - agrément'!G11+'Drugs''Care - agrément'!G10+G13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KvYeNZ2DeyCab/OkY/rpse+RAEeYPI1EI1oJ/Y/wPDJpihVE17/bOYK5bVAXJWhKo2PdbhTs9q4AFH+9T+FP0A==" saltValue="/J7eo7AsKilkosAK1t9CfA==" spinCount="100000" sheet="1" objects="1" scenarios="1"/>
  <mergeCells count="20">
    <mergeCell ref="A21:G21"/>
    <mergeCell ref="A24:G24"/>
    <mergeCell ref="A27:G27"/>
    <mergeCell ref="A1:G1"/>
    <mergeCell ref="B5:C5"/>
    <mergeCell ref="A9:G9"/>
    <mergeCell ref="A12:G12"/>
    <mergeCell ref="A15:G15"/>
    <mergeCell ref="A18:G18"/>
    <mergeCell ref="A6:G6"/>
    <mergeCell ref="F42:G42"/>
    <mergeCell ref="E43:E44"/>
    <mergeCell ref="F43:G44"/>
    <mergeCell ref="A30:G30"/>
    <mergeCell ref="A43:B44"/>
    <mergeCell ref="C43:D44"/>
    <mergeCell ref="F39:G39"/>
    <mergeCell ref="F40:G40"/>
    <mergeCell ref="A33:G33"/>
    <mergeCell ref="A36:G36"/>
  </mergeCells>
  <phoneticPr fontId="13" type="noConversion"/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L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33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6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6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6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6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6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6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12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12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12" ht="15" customHeight="1" thickBot="1" x14ac:dyDescent="0.25">
      <c r="A35" s="40" t="s">
        <v>2</v>
      </c>
      <c r="B35" s="22"/>
      <c r="C35" s="23"/>
      <c r="D35" s="24"/>
      <c r="E35" s="25"/>
      <c r="F35" s="24"/>
      <c r="G35" s="26"/>
      <c r="L35" s="35"/>
    </row>
    <row r="36" spans="1:12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12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12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12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+'Drugs''Care - agrément'!F39:G39+'Drugs''Care - agrément (2)'!G38+'Drugs''Care - agrément (2)'!G37+'Drugs''Care - agrément (2)'!G35+'Drugs''Care - agrément (2)'!G34+'Drugs''Care - agrément (2)'!G32+'Drugs''Care - agrément (2)'!G31+'Drugs''Care - agrément (2)'!G29+'Drugs''Care - agrément (2)'!G28+'Drugs''Care - agrément (2)'!G26+'Drugs''Care - agrément (2)'!G25+'Drugs''Care - agrément (2)'!G23+'Drugs''Care - agrément (2)'!G22+'Drugs''Care - agrément (2)'!G20+'Drugs''Care - agrément (2)'!G19+'Drugs''Care - agrément (2)'!G17+'Drugs''Care - agrément (2)'!G16+'Drugs''Care - agrément (2)'!G14+'Drugs''Care - agrément (2)'!G11+'Drugs''Care - agrément (2)'!G10+G13</f>
        <v>0</v>
      </c>
      <c r="G39" s="56"/>
    </row>
    <row r="40" spans="1:12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12" ht="19.899999999999999" customHeight="1" x14ac:dyDescent="0.2">
      <c r="A41" s="8"/>
      <c r="B41" s="8"/>
      <c r="C41" s="8"/>
      <c r="D41" s="8"/>
      <c r="E41" s="8"/>
      <c r="F41" s="8"/>
      <c r="G41" s="8"/>
    </row>
    <row r="42" spans="1:12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12" ht="12" customHeight="1" x14ac:dyDescent="0.2">
      <c r="A43" s="58"/>
      <c r="B43" s="59"/>
      <c r="C43" s="62"/>
      <c r="D43" s="63"/>
      <c r="E43" s="68"/>
      <c r="F43" s="62"/>
      <c r="G43" s="63"/>
    </row>
    <row r="44" spans="1:12" ht="12" customHeight="1" x14ac:dyDescent="0.2">
      <c r="A44" s="60"/>
      <c r="B44" s="61"/>
      <c r="C44" s="64"/>
      <c r="D44" s="65"/>
      <c r="E44" s="69"/>
      <c r="F44" s="64"/>
      <c r="G44" s="65"/>
    </row>
    <row r="45" spans="1:12" x14ac:dyDescent="0.2">
      <c r="A45" s="8"/>
      <c r="B45" s="8"/>
      <c r="C45" s="8"/>
      <c r="D45" s="8"/>
      <c r="E45" s="8"/>
      <c r="F45" s="8"/>
      <c r="G45" s="8"/>
    </row>
    <row r="46" spans="1:12" x14ac:dyDescent="0.2">
      <c r="A46" s="8"/>
      <c r="B46" s="8"/>
      <c r="C46" s="8"/>
      <c r="D46" s="8"/>
      <c r="E46" s="8"/>
      <c r="F46" s="8"/>
      <c r="G46" s="8"/>
    </row>
    <row r="47" spans="1:12" ht="12.75" x14ac:dyDescent="0.2">
      <c r="G47" s="28"/>
    </row>
    <row r="48" spans="1:12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w3S4U913ZFi32QGD/ASLEASR8GQZiDI+VzAfOx222Dk0bspegwr7V7Tx9f6R3gtfR/uf/nImbSZjlvFQKGEWEA==" saltValue="tjTgUurihhubIcc3zRw40Q==" spinCount="100000" sheet="1" objects="1" scenarios="1"/>
  <mergeCells count="20">
    <mergeCell ref="A33:G33"/>
    <mergeCell ref="A1:G1"/>
    <mergeCell ref="B5:C5"/>
    <mergeCell ref="A6:G6"/>
    <mergeCell ref="A9:G9"/>
    <mergeCell ref="A12:G12"/>
    <mergeCell ref="A15:G15"/>
    <mergeCell ref="A18:G18"/>
    <mergeCell ref="A21:G21"/>
    <mergeCell ref="A24:G24"/>
    <mergeCell ref="A27:G27"/>
    <mergeCell ref="A30:G30"/>
    <mergeCell ref="F43:G44"/>
    <mergeCell ref="A36:G36"/>
    <mergeCell ref="F39:G39"/>
    <mergeCell ref="F40:G40"/>
    <mergeCell ref="A43:B44"/>
    <mergeCell ref="C43:D44"/>
    <mergeCell ref="F42:G42"/>
    <mergeCell ref="E43:E44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35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6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6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6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6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6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6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'Drugs''Care - agrément (3)'!G38+'Drugs''Care - agrément (3)'!G37+'Drugs''Care - agrément (3)'!G35+'Drugs''Care - agrément (3)'!G34+'Drugs''Care - agrément (3)'!G32+'Drugs''Care - agrément (3)'!G31+'Drugs''Care - agrément (3)'!G29+'Drugs''Care - agrément (3)'!G28+'Drugs''Care - agrément (3)'!G26+'Drugs''Care - agrément (3)'!G25+'Drugs''Care - agrément (3)'!G23+'Drugs''Care - agrément (3)'!G22+'Drugs''Care - agrément (3)'!G20+'Drugs''Care - agrément (3)'!G19+'Drugs''Care - agrément (3)'!G17+'Drugs''Care - agrément (3)'!G16+'Drugs''Care - agrément (3)'!G14+'Drugs''Care - agrément (3)'!G11+'Drugs''Care - agrément (3)'!G10+G13+'Drugs''Care - agrément (2)'!F39:G39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xDpmFaHBHxyS220jFwvbk+8F4/M2Kk6iyqIwHR9Cc59IelYdOzdZ7t3FLqzcjwp3Vl2rr25fg1+tc2YmNSQj+A==" saltValue="D7eW59e6AhMV7Dn4OT56AA==" spinCount="100000" sheet="1" objects="1" scenarios="1"/>
  <mergeCells count="20">
    <mergeCell ref="A33:G33"/>
    <mergeCell ref="A1:G1"/>
    <mergeCell ref="B5:C5"/>
    <mergeCell ref="A6:G6"/>
    <mergeCell ref="A9:G9"/>
    <mergeCell ref="A12:G12"/>
    <mergeCell ref="A15:G15"/>
    <mergeCell ref="A18:G18"/>
    <mergeCell ref="A21:G21"/>
    <mergeCell ref="A24:G24"/>
    <mergeCell ref="A27:G27"/>
    <mergeCell ref="A30:G30"/>
    <mergeCell ref="A36:G36"/>
    <mergeCell ref="F39:G39"/>
    <mergeCell ref="F40:G40"/>
    <mergeCell ref="F42:G42"/>
    <mergeCell ref="A43:B44"/>
    <mergeCell ref="C43:D44"/>
    <mergeCell ref="E43:E44"/>
    <mergeCell ref="F43:G44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/>
  <dimension ref="A1:G83"/>
  <sheetViews>
    <sheetView zoomScaleNormal="100"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4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39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24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24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52" t="s">
        <v>24</v>
      </c>
      <c r="B15" s="53"/>
      <c r="C15" s="53"/>
      <c r="D15" s="53"/>
      <c r="E15" s="53"/>
      <c r="F15" s="53"/>
      <c r="G15" s="54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52" t="s">
        <v>24</v>
      </c>
      <c r="B18" s="53"/>
      <c r="C18" s="53"/>
      <c r="D18" s="53"/>
      <c r="E18" s="53"/>
      <c r="F18" s="53"/>
      <c r="G18" s="54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52" t="s">
        <v>24</v>
      </c>
      <c r="B21" s="53"/>
      <c r="C21" s="53"/>
      <c r="D21" s="53"/>
      <c r="E21" s="53"/>
      <c r="F21" s="53"/>
      <c r="G21" s="54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52" t="s">
        <v>24</v>
      </c>
      <c r="B24" s="53"/>
      <c r="C24" s="53"/>
      <c r="D24" s="53"/>
      <c r="E24" s="53"/>
      <c r="F24" s="53"/>
      <c r="G24" s="54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52" t="s">
        <v>24</v>
      </c>
      <c r="B27" s="53"/>
      <c r="C27" s="53"/>
      <c r="D27" s="53"/>
      <c r="E27" s="53"/>
      <c r="F27" s="53"/>
      <c r="G27" s="54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52" t="s">
        <v>24</v>
      </c>
      <c r="B30" s="53"/>
      <c r="C30" s="53"/>
      <c r="D30" s="53"/>
      <c r="E30" s="53"/>
      <c r="F30" s="53"/>
      <c r="G30" s="54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52" t="s">
        <v>24</v>
      </c>
      <c r="B33" s="53"/>
      <c r="C33" s="53"/>
      <c r="D33" s="53"/>
      <c r="E33" s="53"/>
      <c r="F33" s="53"/>
      <c r="G33" s="54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24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VIELSALM!G38+VIELSALM!G37+VIELSALM!G35+VIELSALM!G34+VIELSALM!G32+VIELSALM!G31+VIELSALM!G29+VIELSALM!G28+VIELSALM!G26+VIELSALM!G25+VIELSALM!G23+VIELSALM!G22+VIELSALM!G20+VIELSALM!G19+VIELSALM!G17+VIELSALM!G16+VIELSALM!G14+VIELSALM!G11+VIELSALM!G10+G13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22.5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A1OMH0nO2Tu64PX36AQRqnQBGlh0Sqf0r1jbqq9k2fDD0ApY+n56c4vDaOOami2mtinbW/FlQJiQJNamRnHQZQ==" saltValue="SqmB786+lq7Pv4wkq13Pog==" spinCount="100000" sheet="1" objects="1" scenarios="1"/>
  <mergeCells count="20">
    <mergeCell ref="A33:G33"/>
    <mergeCell ref="A1:G1"/>
    <mergeCell ref="B5:C5"/>
    <mergeCell ref="A6:G6"/>
    <mergeCell ref="A9:G9"/>
    <mergeCell ref="A12:G12"/>
    <mergeCell ref="A15:G15"/>
    <mergeCell ref="A18:G18"/>
    <mergeCell ref="A21:G21"/>
    <mergeCell ref="A24:G24"/>
    <mergeCell ref="A27:G27"/>
    <mergeCell ref="A30:G30"/>
    <mergeCell ref="A36:G36"/>
    <mergeCell ref="F39:G39"/>
    <mergeCell ref="F40:G40"/>
    <mergeCell ref="F42:G42"/>
    <mergeCell ref="A43:B44"/>
    <mergeCell ref="C43:D44"/>
    <mergeCell ref="E43:E44"/>
    <mergeCell ref="F43:G44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29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6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6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6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6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6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6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'BDN Prison Arlon'!G38+'BDN Prison Arlon'!G37+'BDN Prison Arlon'!G35+'BDN Prison Arlon'!G34+'BDN Prison Arlon'!G32+'BDN Prison Arlon'!G31+'BDN Prison Arlon'!G29+'BDN Prison Arlon'!G28+'BDN Prison Arlon'!G26+'BDN Prison Arlon'!G25+'BDN Prison Arlon'!G23+'BDN Prison Arlon'!G22+'BDN Prison Arlon'!G20+'BDN Prison Arlon'!G19+'BDN Prison Arlon'!G17+'BDN Prison Arlon'!G16+'BDN Prison Arlon'!G14+'BDN Prison Arlon'!G11+'BDN Prison Arlon'!G10+G13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9xB2kLf0CBNZ8StuNUzrWaSFhBSHt5UIyG4SBN7WjUHZQCo9nfRjdWWuQ5ug5MlftbYzkRYnC0d5Ahu7ps3tJg==" saltValue="s8eNxX+DvHJkyenmGZWhVQ==" spinCount="100000" sheet="1" objects="1" scenarios="1"/>
  <mergeCells count="20">
    <mergeCell ref="F40:G40"/>
    <mergeCell ref="A43:B44"/>
    <mergeCell ref="C43:D44"/>
    <mergeCell ref="F42:G42"/>
    <mergeCell ref="E43:E44"/>
    <mergeCell ref="F43:G44"/>
    <mergeCell ref="A36:G36"/>
    <mergeCell ref="A6:G6"/>
    <mergeCell ref="F39:G39"/>
    <mergeCell ref="A15:G15"/>
    <mergeCell ref="A18:G18"/>
    <mergeCell ref="A21:G21"/>
    <mergeCell ref="A24:G24"/>
    <mergeCell ref="A27:G27"/>
    <mergeCell ref="A30:G30"/>
    <mergeCell ref="A1:G1"/>
    <mergeCell ref="B5:C5"/>
    <mergeCell ref="A9:G9"/>
    <mergeCell ref="A12:G12"/>
    <mergeCell ref="A33:G33"/>
  </mergeCells>
  <phoneticPr fontId="13" type="noConversion"/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30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6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6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6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6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6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6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'BDN Prison St-Hubert'!G38+'BDN Prison St-Hubert'!G37+'BDN Prison St-Hubert'!G35+'BDN Prison St-Hubert'!G34+'BDN Prison St-Hubert'!G32+'BDN Prison St-Hubert'!G31+'BDN Prison St-Hubert'!G29+'BDN Prison St-Hubert'!G28+'BDN Prison St-Hubert'!G26+'BDN Prison St-Hubert'!G25+'BDN Prison St-Hubert'!G23+'BDN Prison St-Hubert'!G22+'BDN Prison St-Hubert'!G20+'BDN Prison St-Hubert'!G19+'BDN Prison St-Hubert'!G17+'BDN Prison St-Hubert'!G16+'BDN Prison St-Hubert'!G14+'BDN Prison St-Hubert'!G11+'BDN Prison St-Hubert'!G10+G13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vcEl7LvxbCjNeA8VJsrNReCdlixz3/I4zdyr42pgOPfW4WjlZ792JSUMgkgEAlVm/yNqqaaeIGbXzDxm4By7XA==" saltValue="cy1f8ozxthd52fkscT0hgA==" spinCount="100000" sheet="1" objects="1" scenarios="1"/>
  <mergeCells count="20">
    <mergeCell ref="F40:G40"/>
    <mergeCell ref="A43:B44"/>
    <mergeCell ref="C43:D44"/>
    <mergeCell ref="F42:G42"/>
    <mergeCell ref="E43:E44"/>
    <mergeCell ref="F43:G44"/>
    <mergeCell ref="A36:G36"/>
    <mergeCell ref="A6:G6"/>
    <mergeCell ref="F39:G39"/>
    <mergeCell ref="A15:G15"/>
    <mergeCell ref="A18:G18"/>
    <mergeCell ref="A21:G21"/>
    <mergeCell ref="A24:G24"/>
    <mergeCell ref="A27:G27"/>
    <mergeCell ref="A30:G30"/>
    <mergeCell ref="A1:G1"/>
    <mergeCell ref="B5:C5"/>
    <mergeCell ref="A9:G9"/>
    <mergeCell ref="A12:G12"/>
    <mergeCell ref="A33:G33"/>
  </mergeCells>
  <phoneticPr fontId="13" type="noConversion"/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/>
  <dimension ref="A1:G83"/>
  <sheetViews>
    <sheetView workbookViewId="0">
      <selection activeCell="G5" sqref="G5"/>
    </sheetView>
  </sheetViews>
  <sheetFormatPr baseColWidth="10" defaultRowHeight="11.25" x14ac:dyDescent="0.2"/>
  <cols>
    <col min="1" max="1" width="9" style="27" customWidth="1"/>
    <col min="2" max="2" width="7.42578125" style="27" bestFit="1" customWidth="1"/>
    <col min="3" max="3" width="15.7109375" style="27" customWidth="1"/>
    <col min="4" max="4" width="16.85546875" style="27" bestFit="1" customWidth="1"/>
    <col min="5" max="6" width="15.7109375" style="27" customWidth="1"/>
    <col min="7" max="7" width="11" style="27" customWidth="1"/>
    <col min="8" max="16384" width="11.42578125" style="1"/>
  </cols>
  <sheetData>
    <row r="1" spans="1:7" s="6" customFormat="1" ht="19.5" thickBot="1" x14ac:dyDescent="0.35">
      <c r="A1" s="47" t="s">
        <v>13</v>
      </c>
      <c r="B1" s="48"/>
      <c r="C1" s="48"/>
      <c r="D1" s="48"/>
      <c r="E1" s="48"/>
      <c r="F1" s="48"/>
      <c r="G1" s="49"/>
    </row>
    <row r="2" spans="1:7" ht="16.5" customHeight="1" thickBot="1" x14ac:dyDescent="0.25">
      <c r="A2" s="8"/>
      <c r="B2" s="8"/>
      <c r="C2" s="8"/>
      <c r="D2" s="8"/>
      <c r="E2" s="8"/>
      <c r="F2" s="8"/>
      <c r="G2" s="8"/>
    </row>
    <row r="3" spans="1:7" s="5" customFormat="1" ht="19.899999999999999" customHeight="1" x14ac:dyDescent="0.25">
      <c r="A3" s="29" t="s">
        <v>7</v>
      </c>
      <c r="B3" s="9"/>
      <c r="C3" s="10"/>
      <c r="D3" s="32" t="s">
        <v>8</v>
      </c>
      <c r="E3" s="11"/>
      <c r="F3" s="32" t="s">
        <v>11</v>
      </c>
      <c r="G3" s="12"/>
    </row>
    <row r="4" spans="1:7" s="5" customFormat="1" ht="19.899999999999999" customHeight="1" x14ac:dyDescent="0.25">
      <c r="A4" s="30" t="s">
        <v>18</v>
      </c>
      <c r="B4" s="13"/>
      <c r="C4" s="14"/>
      <c r="D4" s="33" t="s">
        <v>9</v>
      </c>
      <c r="E4" s="15"/>
      <c r="F4" s="33" t="s">
        <v>12</v>
      </c>
      <c r="G4" s="16"/>
    </row>
    <row r="5" spans="1:7" s="5" customFormat="1" ht="25.5" customHeight="1" thickBot="1" x14ac:dyDescent="0.3">
      <c r="A5" s="31" t="s">
        <v>22</v>
      </c>
      <c r="B5" s="50"/>
      <c r="C5" s="51"/>
      <c r="D5" s="34" t="s">
        <v>10</v>
      </c>
      <c r="E5" s="17"/>
      <c r="F5" s="34" t="s">
        <v>23</v>
      </c>
      <c r="G5" s="35">
        <v>0.44490000000000002</v>
      </c>
    </row>
    <row r="6" spans="1:7" ht="19.899999999999999" customHeight="1" x14ac:dyDescent="0.2">
      <c r="A6" s="55" t="s">
        <v>31</v>
      </c>
      <c r="B6" s="55"/>
      <c r="C6" s="55"/>
      <c r="D6" s="55"/>
      <c r="E6" s="55"/>
      <c r="F6" s="55"/>
      <c r="G6" s="55"/>
    </row>
    <row r="7" spans="1:7" s="3" customFormat="1" ht="19.899999999999999" customHeight="1" x14ac:dyDescent="0.25">
      <c r="A7" s="36"/>
      <c r="B7" s="36" t="s">
        <v>0</v>
      </c>
      <c r="C7" s="37" t="s">
        <v>3</v>
      </c>
      <c r="D7" s="37"/>
      <c r="E7" s="37" t="s">
        <v>16</v>
      </c>
      <c r="F7" s="37"/>
      <c r="G7" s="36" t="s">
        <v>20</v>
      </c>
    </row>
    <row r="8" spans="1:7" s="4" customFormat="1" ht="19.899999999999999" customHeight="1" x14ac:dyDescent="0.25">
      <c r="A8" s="38"/>
      <c r="B8" s="38"/>
      <c r="C8" s="38" t="s">
        <v>4</v>
      </c>
      <c r="D8" s="38" t="s">
        <v>5</v>
      </c>
      <c r="E8" s="38" t="s">
        <v>4</v>
      </c>
      <c r="F8" s="38" t="s">
        <v>5</v>
      </c>
      <c r="G8" s="38"/>
    </row>
    <row r="9" spans="1:7" s="4" customFormat="1" ht="19.899999999999999" customHeight="1" x14ac:dyDescent="0.25">
      <c r="A9" s="52" t="s">
        <v>6</v>
      </c>
      <c r="B9" s="53"/>
      <c r="C9" s="53"/>
      <c r="D9" s="53"/>
      <c r="E9" s="53"/>
      <c r="F9" s="53"/>
      <c r="G9" s="54"/>
    </row>
    <row r="10" spans="1:7" ht="15" customHeight="1" x14ac:dyDescent="0.2">
      <c r="A10" s="39" t="s">
        <v>1</v>
      </c>
      <c r="B10" s="18"/>
      <c r="C10" s="19"/>
      <c r="D10" s="43"/>
      <c r="E10" s="20"/>
      <c r="F10" s="43"/>
      <c r="G10" s="21"/>
    </row>
    <row r="11" spans="1:7" ht="15" customHeight="1" x14ac:dyDescent="0.2">
      <c r="A11" s="40" t="s">
        <v>2</v>
      </c>
      <c r="B11" s="22"/>
      <c r="C11" s="23"/>
      <c r="D11" s="24"/>
      <c r="E11" s="25"/>
      <c r="F11" s="24"/>
      <c r="G11" s="26"/>
    </row>
    <row r="12" spans="1:7" s="4" customFormat="1" ht="19.899999999999999" customHeight="1" x14ac:dyDescent="0.25">
      <c r="A12" s="52" t="s">
        <v>6</v>
      </c>
      <c r="B12" s="53"/>
      <c r="C12" s="53"/>
      <c r="D12" s="53"/>
      <c r="E12" s="53"/>
      <c r="F12" s="53"/>
      <c r="G12" s="54"/>
    </row>
    <row r="13" spans="1:7" ht="15" customHeight="1" x14ac:dyDescent="0.2">
      <c r="A13" s="39" t="s">
        <v>1</v>
      </c>
      <c r="B13" s="18"/>
      <c r="C13" s="19"/>
      <c r="D13" s="43"/>
      <c r="E13" s="20"/>
      <c r="F13" s="43"/>
      <c r="G13" s="21"/>
    </row>
    <row r="14" spans="1:7" ht="15" customHeight="1" x14ac:dyDescent="0.2">
      <c r="A14" s="40" t="s">
        <v>2</v>
      </c>
      <c r="B14" s="22"/>
      <c r="C14" s="23"/>
      <c r="D14" s="24"/>
      <c r="E14" s="25"/>
      <c r="F14" s="24"/>
      <c r="G14" s="26"/>
    </row>
    <row r="15" spans="1:7" s="4" customFormat="1" ht="19.899999999999999" customHeight="1" x14ac:dyDescent="0.25">
      <c r="A15" s="70" t="s">
        <v>6</v>
      </c>
      <c r="B15" s="70"/>
      <c r="C15" s="70"/>
      <c r="D15" s="70"/>
      <c r="E15" s="70"/>
      <c r="F15" s="70"/>
      <c r="G15" s="70"/>
    </row>
    <row r="16" spans="1:7" ht="15" customHeight="1" x14ac:dyDescent="0.2">
      <c r="A16" s="39" t="s">
        <v>1</v>
      </c>
      <c r="B16" s="18"/>
      <c r="C16" s="19"/>
      <c r="D16" s="43"/>
      <c r="E16" s="20"/>
      <c r="F16" s="43"/>
      <c r="G16" s="21"/>
    </row>
    <row r="17" spans="1:7" ht="15" customHeight="1" x14ac:dyDescent="0.2">
      <c r="A17" s="40" t="s">
        <v>2</v>
      </c>
      <c r="B17" s="22"/>
      <c r="C17" s="23"/>
      <c r="D17" s="24"/>
      <c r="E17" s="25"/>
      <c r="F17" s="24"/>
      <c r="G17" s="26"/>
    </row>
    <row r="18" spans="1:7" s="4" customFormat="1" ht="19.899999999999999" customHeight="1" x14ac:dyDescent="0.25">
      <c r="A18" s="70" t="s">
        <v>6</v>
      </c>
      <c r="B18" s="70"/>
      <c r="C18" s="70"/>
      <c r="D18" s="70"/>
      <c r="E18" s="70"/>
      <c r="F18" s="70"/>
      <c r="G18" s="70"/>
    </row>
    <row r="19" spans="1:7" ht="15" customHeight="1" x14ac:dyDescent="0.2">
      <c r="A19" s="39" t="s">
        <v>1</v>
      </c>
      <c r="B19" s="18"/>
      <c r="C19" s="19"/>
      <c r="D19" s="43"/>
      <c r="E19" s="20"/>
      <c r="F19" s="43"/>
      <c r="G19" s="21"/>
    </row>
    <row r="20" spans="1:7" ht="15" customHeight="1" x14ac:dyDescent="0.2">
      <c r="A20" s="40" t="s">
        <v>2</v>
      </c>
      <c r="B20" s="22"/>
      <c r="C20" s="23"/>
      <c r="D20" s="24"/>
      <c r="E20" s="25"/>
      <c r="F20" s="24"/>
      <c r="G20" s="26"/>
    </row>
    <row r="21" spans="1:7" s="4" customFormat="1" ht="19.899999999999999" customHeight="1" x14ac:dyDescent="0.25">
      <c r="A21" s="70" t="s">
        <v>6</v>
      </c>
      <c r="B21" s="70"/>
      <c r="C21" s="70"/>
      <c r="D21" s="70"/>
      <c r="E21" s="70"/>
      <c r="F21" s="70"/>
      <c r="G21" s="70"/>
    </row>
    <row r="22" spans="1:7" ht="15" customHeight="1" x14ac:dyDescent="0.2">
      <c r="A22" s="39" t="s">
        <v>1</v>
      </c>
      <c r="B22" s="18"/>
      <c r="C22" s="19"/>
      <c r="D22" s="43"/>
      <c r="E22" s="20"/>
      <c r="F22" s="43"/>
      <c r="G22" s="21"/>
    </row>
    <row r="23" spans="1:7" ht="15" customHeight="1" x14ac:dyDescent="0.2">
      <c r="A23" s="40" t="s">
        <v>2</v>
      </c>
      <c r="B23" s="22"/>
      <c r="C23" s="23"/>
      <c r="D23" s="24"/>
      <c r="E23" s="25"/>
      <c r="F23" s="24"/>
      <c r="G23" s="26"/>
    </row>
    <row r="24" spans="1:7" s="4" customFormat="1" ht="19.899999999999999" customHeight="1" x14ac:dyDescent="0.25">
      <c r="A24" s="70" t="s">
        <v>6</v>
      </c>
      <c r="B24" s="70"/>
      <c r="C24" s="70"/>
      <c r="D24" s="70"/>
      <c r="E24" s="70"/>
      <c r="F24" s="70"/>
      <c r="G24" s="70"/>
    </row>
    <row r="25" spans="1:7" ht="15" customHeight="1" x14ac:dyDescent="0.2">
      <c r="A25" s="39" t="s">
        <v>1</v>
      </c>
      <c r="B25" s="18"/>
      <c r="C25" s="19"/>
      <c r="D25" s="43"/>
      <c r="E25" s="20"/>
      <c r="F25" s="43"/>
      <c r="G25" s="21"/>
    </row>
    <row r="26" spans="1:7" ht="15" customHeight="1" x14ac:dyDescent="0.2">
      <c r="A26" s="40" t="s">
        <v>2</v>
      </c>
      <c r="B26" s="22"/>
      <c r="C26" s="23"/>
      <c r="D26" s="24"/>
      <c r="E26" s="25"/>
      <c r="F26" s="24"/>
      <c r="G26" s="26"/>
    </row>
    <row r="27" spans="1:7" s="4" customFormat="1" ht="19.899999999999999" customHeight="1" x14ac:dyDescent="0.25">
      <c r="A27" s="70" t="s">
        <v>6</v>
      </c>
      <c r="B27" s="70"/>
      <c r="C27" s="70"/>
      <c r="D27" s="70"/>
      <c r="E27" s="70"/>
      <c r="F27" s="70"/>
      <c r="G27" s="70"/>
    </row>
    <row r="28" spans="1:7" ht="15" customHeight="1" x14ac:dyDescent="0.2">
      <c r="A28" s="39" t="s">
        <v>1</v>
      </c>
      <c r="B28" s="18"/>
      <c r="C28" s="19"/>
      <c r="D28" s="43"/>
      <c r="E28" s="20"/>
      <c r="F28" s="43"/>
      <c r="G28" s="21"/>
    </row>
    <row r="29" spans="1:7" ht="15" customHeight="1" x14ac:dyDescent="0.2">
      <c r="A29" s="40" t="s">
        <v>2</v>
      </c>
      <c r="B29" s="22"/>
      <c r="C29" s="23"/>
      <c r="D29" s="24"/>
      <c r="E29" s="25"/>
      <c r="F29" s="24"/>
      <c r="G29" s="26"/>
    </row>
    <row r="30" spans="1:7" s="4" customFormat="1" ht="19.899999999999999" customHeight="1" x14ac:dyDescent="0.25">
      <c r="A30" s="70" t="s">
        <v>6</v>
      </c>
      <c r="B30" s="70"/>
      <c r="C30" s="70"/>
      <c r="D30" s="70"/>
      <c r="E30" s="70"/>
      <c r="F30" s="70"/>
      <c r="G30" s="70"/>
    </row>
    <row r="31" spans="1:7" ht="15" customHeight="1" x14ac:dyDescent="0.2">
      <c r="A31" s="39" t="s">
        <v>1</v>
      </c>
      <c r="B31" s="18"/>
      <c r="C31" s="19"/>
      <c r="D31" s="43"/>
      <c r="E31" s="20"/>
      <c r="F31" s="43"/>
      <c r="G31" s="21"/>
    </row>
    <row r="32" spans="1:7" ht="15" customHeight="1" x14ac:dyDescent="0.2">
      <c r="A32" s="40" t="s">
        <v>2</v>
      </c>
      <c r="B32" s="22"/>
      <c r="C32" s="23"/>
      <c r="D32" s="24"/>
      <c r="E32" s="25"/>
      <c r="F32" s="24"/>
      <c r="G32" s="26"/>
    </row>
    <row r="33" spans="1:7" s="4" customFormat="1" ht="19.899999999999999" customHeight="1" x14ac:dyDescent="0.25">
      <c r="A33" s="70" t="s">
        <v>6</v>
      </c>
      <c r="B33" s="70"/>
      <c r="C33" s="70"/>
      <c r="D33" s="70"/>
      <c r="E33" s="70"/>
      <c r="F33" s="70"/>
      <c r="G33" s="70"/>
    </row>
    <row r="34" spans="1:7" ht="15" customHeight="1" x14ac:dyDescent="0.2">
      <c r="A34" s="39" t="s">
        <v>1</v>
      </c>
      <c r="B34" s="18"/>
      <c r="C34" s="19"/>
      <c r="D34" s="43"/>
      <c r="E34" s="20"/>
      <c r="F34" s="43"/>
      <c r="G34" s="21"/>
    </row>
    <row r="35" spans="1:7" ht="15" customHeight="1" x14ac:dyDescent="0.2">
      <c r="A35" s="40" t="s">
        <v>2</v>
      </c>
      <c r="B35" s="22"/>
      <c r="C35" s="23"/>
      <c r="D35" s="24"/>
      <c r="E35" s="25"/>
      <c r="F35" s="24"/>
      <c r="G35" s="26"/>
    </row>
    <row r="36" spans="1:7" s="4" customFormat="1" ht="19.899999999999999" customHeight="1" x14ac:dyDescent="0.25">
      <c r="A36" s="52" t="s">
        <v>6</v>
      </c>
      <c r="B36" s="53"/>
      <c r="C36" s="53"/>
      <c r="D36" s="53"/>
      <c r="E36" s="53"/>
      <c r="F36" s="53"/>
      <c r="G36" s="54"/>
    </row>
    <row r="37" spans="1:7" ht="15" customHeight="1" x14ac:dyDescent="0.2">
      <c r="A37" s="39" t="s">
        <v>1</v>
      </c>
      <c r="B37" s="18"/>
      <c r="C37" s="19"/>
      <c r="D37" s="43"/>
      <c r="E37" s="20"/>
      <c r="F37" s="43"/>
      <c r="G37" s="21"/>
    </row>
    <row r="38" spans="1:7" ht="15" customHeight="1" x14ac:dyDescent="0.2">
      <c r="A38" s="40" t="s">
        <v>2</v>
      </c>
      <c r="B38" s="22"/>
      <c r="C38" s="23"/>
      <c r="D38" s="24"/>
      <c r="E38" s="25"/>
      <c r="F38" s="24"/>
      <c r="G38" s="26"/>
    </row>
    <row r="39" spans="1:7" s="7" customFormat="1" ht="19.899999999999999" customHeight="1" x14ac:dyDescent="0.25">
      <c r="A39" s="41" t="s">
        <v>17</v>
      </c>
      <c r="B39" s="42"/>
      <c r="C39" s="42"/>
      <c r="D39" s="42"/>
      <c r="E39" s="42"/>
      <c r="F39" s="56">
        <f>'BDN Rue (remb. par MV)'!G38+'BDN Rue (remb. par MV)'!G37+'BDN Rue (remb. par MV)'!G35+'BDN Rue (remb. par MV)'!G34+'BDN Rue (remb. par MV)'!G32+'BDN Rue (remb. par MV)'!G31+'BDN Rue (remb. par MV)'!G29+'BDN Rue (remb. par MV)'!G28+'BDN Rue (remb. par MV)'!G26+'BDN Rue (remb. par MV)'!G25+'BDN Rue (remb. par MV)'!G23+'BDN Rue (remb. par MV)'!G22+'BDN Rue (remb. par MV)'!G20+'BDN Rue (remb. par MV)'!G19+'BDN Rue (remb. par MV)'!G17+'BDN Rue (remb. par MV)'!G16+'BDN Rue (remb. par MV)'!G14+'BDN Rue (remb. par MV)'!G11+'BDN Rue (remb. par MV)'!G10+G13</f>
        <v>0</v>
      </c>
      <c r="G39" s="56"/>
    </row>
    <row r="40" spans="1:7" s="7" customFormat="1" ht="19.899999999999999" customHeight="1" x14ac:dyDescent="0.25">
      <c r="A40" s="41" t="s">
        <v>19</v>
      </c>
      <c r="B40" s="42"/>
      <c r="C40" s="42"/>
      <c r="D40" s="42"/>
      <c r="E40" s="42"/>
      <c r="F40" s="57">
        <f>+F39*G5</f>
        <v>0</v>
      </c>
      <c r="G40" s="57"/>
    </row>
    <row r="41" spans="1:7" ht="19.899999999999999" customHeight="1" x14ac:dyDescent="0.2">
      <c r="A41" s="8"/>
      <c r="B41" s="8"/>
      <c r="C41" s="8"/>
      <c r="D41" s="8"/>
      <c r="E41" s="8"/>
      <c r="F41" s="8"/>
      <c r="G41" s="8"/>
    </row>
    <row r="42" spans="1:7" s="2" customFormat="1" ht="19.899999999999999" customHeight="1" x14ac:dyDescent="0.2">
      <c r="A42" s="41" t="s">
        <v>21</v>
      </c>
      <c r="B42" s="42"/>
      <c r="C42" s="41" t="s">
        <v>14</v>
      </c>
      <c r="D42" s="45"/>
      <c r="E42" s="46" t="s">
        <v>34</v>
      </c>
      <c r="F42" s="66" t="s">
        <v>15</v>
      </c>
      <c r="G42" s="67"/>
    </row>
    <row r="43" spans="1:7" ht="12" customHeight="1" x14ac:dyDescent="0.2">
      <c r="A43" s="58"/>
      <c r="B43" s="59"/>
      <c r="C43" s="62"/>
      <c r="D43" s="63"/>
      <c r="E43" s="68"/>
      <c r="F43" s="62"/>
      <c r="G43" s="63"/>
    </row>
    <row r="44" spans="1:7" ht="12" customHeight="1" x14ac:dyDescent="0.2">
      <c r="A44" s="60"/>
      <c r="B44" s="61"/>
      <c r="C44" s="64"/>
      <c r="D44" s="65"/>
      <c r="E44" s="69"/>
      <c r="F44" s="64"/>
      <c r="G44" s="65"/>
    </row>
    <row r="45" spans="1:7" x14ac:dyDescent="0.2">
      <c r="A45" s="8"/>
      <c r="B45" s="8"/>
      <c r="C45" s="8"/>
      <c r="D45" s="8"/>
      <c r="E45" s="8"/>
      <c r="F45" s="8"/>
      <c r="G45" s="8"/>
    </row>
    <row r="46" spans="1:7" x14ac:dyDescent="0.2">
      <c r="A46" s="8"/>
      <c r="B46" s="8"/>
      <c r="C46" s="8"/>
      <c r="D46" s="8"/>
      <c r="E46" s="8"/>
      <c r="F46" s="8"/>
      <c r="G46" s="8"/>
    </row>
    <row r="47" spans="1:7" ht="12.75" x14ac:dyDescent="0.2">
      <c r="G47" s="28"/>
    </row>
    <row r="48" spans="1:7" ht="12.75" x14ac:dyDescent="0.2">
      <c r="G48" s="28"/>
    </row>
    <row r="49" spans="7:7" ht="12.75" x14ac:dyDescent="0.2">
      <c r="G49" s="28"/>
    </row>
    <row r="50" spans="7:7" ht="12.75" x14ac:dyDescent="0.2">
      <c r="G50" s="28"/>
    </row>
    <row r="51" spans="7:7" ht="12.75" x14ac:dyDescent="0.2">
      <c r="G51" s="28"/>
    </row>
    <row r="52" spans="7:7" ht="12.75" x14ac:dyDescent="0.2">
      <c r="G52" s="28"/>
    </row>
    <row r="53" spans="7:7" ht="12.75" x14ac:dyDescent="0.2">
      <c r="G53" s="28"/>
    </row>
    <row r="54" spans="7:7" ht="12.75" x14ac:dyDescent="0.2">
      <c r="G54" s="28"/>
    </row>
    <row r="55" spans="7:7" ht="12.75" x14ac:dyDescent="0.2">
      <c r="G55" s="28"/>
    </row>
    <row r="56" spans="7:7" ht="12.75" x14ac:dyDescent="0.2">
      <c r="G56" s="28"/>
    </row>
    <row r="57" spans="7:7" ht="12.75" x14ac:dyDescent="0.2">
      <c r="G57" s="28"/>
    </row>
    <row r="58" spans="7:7" ht="12.75" x14ac:dyDescent="0.2">
      <c r="G58" s="28"/>
    </row>
    <row r="59" spans="7:7" ht="12.75" x14ac:dyDescent="0.2">
      <c r="G59" s="28"/>
    </row>
    <row r="60" spans="7:7" ht="12.75" x14ac:dyDescent="0.2">
      <c r="G60" s="28"/>
    </row>
    <row r="61" spans="7:7" ht="12.75" x14ac:dyDescent="0.2">
      <c r="G61" s="28"/>
    </row>
    <row r="62" spans="7:7" ht="12.75" x14ac:dyDescent="0.2">
      <c r="G62" s="28"/>
    </row>
    <row r="63" spans="7:7" ht="12.75" x14ac:dyDescent="0.2">
      <c r="G63" s="28"/>
    </row>
    <row r="64" spans="7:7" ht="12.75" x14ac:dyDescent="0.2">
      <c r="G64" s="28"/>
    </row>
    <row r="65" spans="7:7" ht="12.75" x14ac:dyDescent="0.2">
      <c r="G65" s="28"/>
    </row>
    <row r="66" spans="7:7" ht="12.75" x14ac:dyDescent="0.2">
      <c r="G66" s="28"/>
    </row>
    <row r="67" spans="7:7" ht="12.75" x14ac:dyDescent="0.2">
      <c r="G67" s="28"/>
    </row>
    <row r="68" spans="7:7" ht="12.75" x14ac:dyDescent="0.2">
      <c r="G68" s="28"/>
    </row>
    <row r="69" spans="7:7" ht="12.75" x14ac:dyDescent="0.2">
      <c r="G69" s="28"/>
    </row>
    <row r="70" spans="7:7" ht="12.75" x14ac:dyDescent="0.2">
      <c r="G70" s="28"/>
    </row>
    <row r="71" spans="7:7" ht="12.75" x14ac:dyDescent="0.2">
      <c r="G71" s="28"/>
    </row>
    <row r="72" spans="7:7" ht="12.75" x14ac:dyDescent="0.2">
      <c r="G72" s="28"/>
    </row>
    <row r="73" spans="7:7" ht="12.75" x14ac:dyDescent="0.2">
      <c r="G73" s="28"/>
    </row>
    <row r="74" spans="7:7" ht="12.75" x14ac:dyDescent="0.2">
      <c r="G74" s="28"/>
    </row>
    <row r="75" spans="7:7" ht="12.75" x14ac:dyDescent="0.2">
      <c r="G75" s="28"/>
    </row>
    <row r="76" spans="7:7" ht="12.75" x14ac:dyDescent="0.2">
      <c r="G76" s="28"/>
    </row>
    <row r="77" spans="7:7" ht="12.75" x14ac:dyDescent="0.2">
      <c r="G77" s="28"/>
    </row>
    <row r="78" spans="7:7" ht="12.75" x14ac:dyDescent="0.2">
      <c r="G78" s="28"/>
    </row>
    <row r="79" spans="7:7" ht="12.75" x14ac:dyDescent="0.2">
      <c r="G79" s="28"/>
    </row>
    <row r="80" spans="7:7" ht="12.75" x14ac:dyDescent="0.2">
      <c r="G80" s="28"/>
    </row>
    <row r="81" spans="7:7" ht="12.75" x14ac:dyDescent="0.2">
      <c r="G81" s="28"/>
    </row>
    <row r="82" spans="7:7" ht="12.75" x14ac:dyDescent="0.2">
      <c r="G82" s="28"/>
    </row>
    <row r="83" spans="7:7" ht="12.75" x14ac:dyDescent="0.2">
      <c r="G83" s="28"/>
    </row>
  </sheetData>
  <sheetProtection algorithmName="SHA-512" hashValue="zeqgffGCV59llcFfVPAiUUcg60L87nySqYuOrBzOZTltHn77tfryH9O6c41KyYW/0ZuJ6UBirBRBYK7pUnkTcQ==" saltValue="k7+LmBmmZXqZXHcz8WDJAg==" spinCount="100000" sheet="1" objects="1" scenarios="1"/>
  <mergeCells count="20">
    <mergeCell ref="A33:G33"/>
    <mergeCell ref="A1:G1"/>
    <mergeCell ref="B5:C5"/>
    <mergeCell ref="A6:G6"/>
    <mergeCell ref="A9:G9"/>
    <mergeCell ref="A12:G12"/>
    <mergeCell ref="A15:G15"/>
    <mergeCell ref="A18:G18"/>
    <mergeCell ref="A21:G21"/>
    <mergeCell ref="A24:G24"/>
    <mergeCell ref="A27:G27"/>
    <mergeCell ref="A30:G30"/>
    <mergeCell ref="F43:G44"/>
    <mergeCell ref="A36:G36"/>
    <mergeCell ref="F39:G39"/>
    <mergeCell ref="F40:G40"/>
    <mergeCell ref="A43:B44"/>
    <mergeCell ref="C43:D44"/>
    <mergeCell ref="F42:G42"/>
    <mergeCell ref="E43:E44"/>
  </mergeCells>
  <printOptions horizontalCentered="1" verticalCentered="1"/>
  <pageMargins left="0.39370078740157483" right="0.39370078740157483" top="0.19685039370078741" bottom="0.27559055118110237" header="0.31496062992125984" footer="0.31496062992125984"/>
  <pageSetup paperSize="9" orientation="portrait" horizontalDpi="300" verticalDpi="300" r:id="rId1"/>
  <headerFooter alignWithMargins="0">
    <oddFooter>&amp;L&amp;8&amp;F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EAM</vt:lpstr>
      <vt:lpstr>EAM (2)</vt:lpstr>
      <vt:lpstr>EP</vt:lpstr>
      <vt:lpstr>EP (2)</vt:lpstr>
      <vt:lpstr>FLJ</vt:lpstr>
      <vt:lpstr>FLJ (2)</vt:lpstr>
      <vt:lpstr>MAC-Lux</vt:lpstr>
      <vt:lpstr>MAC-Lux 2</vt:lpstr>
      <vt:lpstr>MAC-Lux 3</vt:lpstr>
      <vt:lpstr>Drugs'Care - agrément</vt:lpstr>
      <vt:lpstr>Drugs'Care - agrément (2)</vt:lpstr>
      <vt:lpstr>Drugs'Care - agrément (3)</vt:lpstr>
      <vt:lpstr>VIELSALM</vt:lpstr>
      <vt:lpstr>BDN Prison Arlon</vt:lpstr>
      <vt:lpstr>BDN Prison St-Hubert</vt:lpstr>
      <vt:lpstr>BDN Rue (remb. par MV)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Compta</dc:creator>
  <cp:lastModifiedBy>Magali FILIPUCCI</cp:lastModifiedBy>
  <cp:lastPrinted>2020-02-05T08:09:22Z</cp:lastPrinted>
  <dcterms:created xsi:type="dcterms:W3CDTF">1998-01-29T11:45:05Z</dcterms:created>
  <dcterms:modified xsi:type="dcterms:W3CDTF">2025-07-16T07:44:02Z</dcterms:modified>
</cp:coreProperties>
</file>